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A9E17A1-3E8F-420F-B090-74C90847DCB2}" xr6:coauthVersionLast="36" xr6:coauthVersionMax="36" xr10:uidLastSave="{00000000-0000-0000-0000-000000000000}"/>
  <bookViews>
    <workbookView xWindow="0" yWindow="0" windowWidth="20490" windowHeight="7425" xr2:uid="{6C66F80E-81B3-4B37-9A4A-C74A2DC0F959}"/>
  </bookViews>
  <sheets>
    <sheet name="Sheet2" sheetId="1" r:id="rId1"/>
  </sheets>
  <externalReferences>
    <externalReference r:id="rId2"/>
    <externalReference r:id="rId3"/>
    <externalReference r:id="rId4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[3]Calculation!$D$3</definedName>
    <definedName name="valregion">[3]Calculation!$D$4</definedName>
    <definedName name="valyear">[3]Calculation!$D$2</definedName>
    <definedName name="vblhelpstatus">[3]Calculation!$I$19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C6" i="1" s="1"/>
  <c r="B29" i="1"/>
  <c r="C29" i="1"/>
  <c r="D29" i="1"/>
  <c r="E29" i="1"/>
</calcChain>
</file>

<file path=xl/sharedStrings.xml><?xml version="1.0" encoding="utf-8"?>
<sst xmlns="http://schemas.openxmlformats.org/spreadsheetml/2006/main" count="42" uniqueCount="42">
  <si>
    <t>QUARTER 4</t>
  </si>
  <si>
    <t>QUARTER 3</t>
  </si>
  <si>
    <t>QUARTER 2</t>
  </si>
  <si>
    <t>QUARTER 1</t>
  </si>
  <si>
    <t>QUARTERLY REVENUE TOTALS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</si>
  <si>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</si>
  <si>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</si>
  <si>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</si>
  <si>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</si>
  <si>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</si>
  <si>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</si>
  <si>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</si>
  <si>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</si>
  <si>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</si>
  <si>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</si>
  <si>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</si>
  <si>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</si>
  <si>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MONTHLY REVENUE TOTALS</t>
  </si>
  <si>
    <t>PENDING ACTIONS</t>
  </si>
  <si>
    <t>REVISIONS</t>
  </si>
  <si>
    <t>UNRESOLVED</t>
  </si>
  <si>
    <t>LOW</t>
  </si>
  <si>
    <t>MEDIUM</t>
  </si>
  <si>
    <t>HIGH</t>
  </si>
  <si>
    <t>ISSUES</t>
  </si>
  <si>
    <t>RISKS</t>
  </si>
  <si>
    <t>REMAINDER</t>
  </si>
  <si>
    <t>ACTUAL</t>
  </si>
  <si>
    <t>PROJECTED</t>
  </si>
  <si>
    <t>COMPLETE</t>
  </si>
  <si>
    <t>IN PROGRESS</t>
  </si>
  <si>
    <t>NOT STARTED</t>
  </si>
  <si>
    <t>BUDGET</t>
  </si>
  <si>
    <t>PROJECTS / TASKS</t>
  </si>
  <si>
    <t>DASHBOARD DATA</t>
  </si>
  <si>
    <t>remaining</t>
  </si>
  <si>
    <t xml:space="preserve">BUDGET </t>
  </si>
  <si>
    <t>complete</t>
  </si>
  <si>
    <t>PROGRESS</t>
  </si>
  <si>
    <t>ahead</t>
  </si>
  <si>
    <t>SCHEDULE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</si>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</sst>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.00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b/>
      <sz val="10"/>
      <color theme="1"/>
      <name val="Century Gothic"/>
      <family val="2"/>
    </font>
    <font>
      <sz val="14"/>
      <color theme="1" tint="0.34998626667073579"/>
      <name val="Century Gothic"/>
      <family val="1"/>
    </font>
    <font>
      <b/>
      <sz val="10"/>
      <color theme="1"/>
      <name val="Century Gothic"/>
      <family val="1"/>
    </font>
    <font>
      <sz val="16"/>
      <color theme="1"/>
      <name val="Century Gothic"/>
      <family val="1"/>
    </font>
    <font>
      <sz val="18"/>
      <color theme="1"/>
      <name val="Century Gothic"/>
      <family val="1"/>
    </font>
    <font>
      <sz val="30"/>
      <color theme="1"/>
      <name val="Century Gothic"/>
      <family val="1"/>
    </font>
    <font>
      <sz val="20"/>
      <color theme="1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0CDDD"/>
        <bgColor indexed="64"/>
      </patternFill>
    </fill>
    <fill>
      <patternFill patternType="solid">
        <fgColor rgb="FFC5EBE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CECC"/>
        <bgColor indexed="64"/>
      </patternFill>
    </fill>
    <fill>
      <patternFill patternType="solid">
        <fgColor rgb="FF60CD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BF0A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ck">
        <color theme="7"/>
      </left>
      <right/>
      <top/>
      <bottom/>
      <diagonal/>
    </border>
    <border>
      <left/>
      <right/>
      <top style="hair">
        <color theme="7" tint="0.39997558519241921"/>
      </top>
      <bottom style="hair">
        <color theme="7" tint="0.39997558519241921"/>
      </bottom>
      <diagonal/>
    </border>
    <border>
      <left style="thick">
        <color theme="7"/>
      </left>
      <right/>
      <top style="hair">
        <color theme="7" tint="0.39997558519241921"/>
      </top>
      <bottom style="hair">
        <color theme="7" tint="0.39997558519241921"/>
      </bottom>
      <diagonal/>
    </border>
    <border>
      <left/>
      <right/>
      <top/>
      <bottom style="hair">
        <color theme="7" tint="0.39997558519241921"/>
      </bottom>
      <diagonal/>
    </border>
    <border>
      <left style="thick">
        <color theme="7"/>
      </left>
      <right/>
      <top/>
      <bottom style="hair">
        <color theme="7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0" fillId="0" borderId="0" xfId="0" applyBorder="1"/>
    <xf numFmtId="0" fontId="8" fillId="0" borderId="0" xfId="0" applyFont="1" applyAlignment="1">
      <alignment horizontal="left" vertical="center" indent="1"/>
    </xf>
    <xf numFmtId="9" fontId="9" fillId="0" borderId="0" xfId="2" applyFont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9" fontId="9" fillId="0" borderId="6" xfId="2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9" fontId="9" fillId="0" borderId="8" xfId="2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10" fillId="0" borderId="0" xfId="0" applyFont="1" applyAlignment="1">
      <alignment vertical="top"/>
    </xf>
    <xf numFmtId="0" fontId="10" fillId="0" borderId="5" xfId="0" applyFont="1" applyBorder="1" applyAlignment="1">
      <alignment horizontal="left" vertical="center" inden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</a:p>
        </c:rich>
      </c:tx>
      <c:layout>
        <c:manualLayout>
          <c:xMode val="edge"/>
          <c:yMode val="edge"/>
          <c:x val="5.5535094207042897E-2"/>
          <c:y val="2.1126758220388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3-457F-8CB4-F18D248CC975}"/>
              </c:ext>
            </c:extLst>
          </c:dPt>
          <c:dPt>
            <c:idx val="1"/>
            <c:invertIfNegative val="0"/>
            <c:bubble3D val="0"/>
            <c:spPr>
              <a:solidFill>
                <a:srgbClr val="60CD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73-457F-8CB4-F18D248CC975}"/>
              </c:ext>
            </c:extLst>
          </c:dPt>
          <c:dPt>
            <c:idx val="2"/>
            <c:invertIfNegative val="0"/>
            <c:bubble3D val="0"/>
            <c:spPr>
              <a:solidFill>
                <a:srgbClr val="ADC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73-457F-8CB4-F18D248CC975}"/>
              </c:ext>
            </c:extLst>
          </c:dPt>
          <c:cat>
            <c:multiLvlStrRef>
              <c:f>Sheet2!$F$15:$H$16</c:f>
              <c:multiLvlStrCache>
                <c:ptCount val="3"/>
                <c:lvl>
                  <c:pt idx="0">
                    <c:v>PROJECTED</c:v>
                  </c:pt>
                  <c:pt idx="1">
                    <c:v>ACTUAL</c:v>
                  </c:pt>
                  <c:pt idx="2">
                    <c:v>REMAINDER</c:v>
                  </c:pt>
                </c:lvl>
                <c:lvl>
                  <c:pt idx="0">
                    <c:v>BUDGET</c:v>
                  </c:pt>
                </c:lvl>
              </c:multiLvlStrCache>
            </c:multiLvlStrRef>
          </c:cat>
          <c:val>
            <c:numRef>
              <c:f>Sheet2!$F$17:$H$17</c:f>
              <c:numCache>
                <c:formatCode>"$"#,##0</c:formatCode>
                <c:ptCount val="3"/>
                <c:pt idx="0">
                  <c:v>250000</c:v>
                </c:pt>
                <c:pt idx="1">
                  <c:v>185000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73-457F-8CB4-F18D248C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838479"/>
        <c:axId val="1966837567"/>
      </c:barChart>
      <c:catAx>
        <c:axId val="202383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37567"/>
        <c:crosses val="autoZero"/>
        <c:auto val="1"/>
        <c:lblAlgn val="ctr"/>
        <c:lblOffset val="100"/>
        <c:noMultiLvlLbl val="0"/>
      </c:catAx>
      <c:valAx>
        <c:axId val="19668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3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RISKS</a:t>
            </a:r>
          </a:p>
        </c:rich>
      </c:tx>
      <c:layout>
        <c:manualLayout>
          <c:xMode val="edge"/>
          <c:yMode val="edge"/>
          <c:x val="4.9643462077330079E-2"/>
          <c:y val="5.4961858489803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69-45D4-83AE-7B2D166B26E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69-45D4-83AE-7B2D166B26EE}"/>
              </c:ext>
            </c:extLst>
          </c:dPt>
          <c:dPt>
            <c:idx val="2"/>
            <c:invertIfNegative val="0"/>
            <c:bubble3D val="0"/>
            <c:spPr>
              <a:solidFill>
                <a:srgbClr val="C5EB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69-45D4-83AE-7B2D166B26EE}"/>
              </c:ext>
            </c:extLst>
          </c:dPt>
          <c:cat>
            <c:multiLvlStrRef>
              <c:f>Sheet2!$B$19:$D$20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</c:lvl>
                <c:lvl>
                  <c:pt idx="0">
                    <c:v>RISKS</c:v>
                  </c:pt>
                </c:lvl>
              </c:multiLvlStrCache>
            </c:multiLvlStrRef>
          </c:cat>
          <c:val>
            <c:numRef>
              <c:f>Sheet2!$B$21:$D$21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69-45D4-83AE-7B2D166B2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6376063"/>
        <c:axId val="2131304079"/>
      </c:barChart>
      <c:catAx>
        <c:axId val="212637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04079"/>
        <c:crosses val="autoZero"/>
        <c:auto val="1"/>
        <c:lblAlgn val="ctr"/>
        <c:lblOffset val="100"/>
        <c:noMultiLvlLbl val="0"/>
      </c:catAx>
      <c:valAx>
        <c:axId val="21313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ISSUES</a:t>
            </a:r>
          </a:p>
        </c:rich>
      </c:tx>
      <c:layout>
        <c:manualLayout>
          <c:xMode val="edge"/>
          <c:yMode val="edge"/>
          <c:x val="5.8443267998011188E-2"/>
          <c:y val="4.9450528056360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F-43F4-920F-C39EA10286C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F-43F4-920F-C39EA10286C0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3F-43F4-920F-C39EA10286C0}"/>
              </c:ext>
            </c:extLst>
          </c:dPt>
          <c:cat>
            <c:multiLvlStrRef>
              <c:f>Sheet2!$F$19:$H$20</c:f>
              <c:multiLvlStrCache>
                <c:ptCount val="3"/>
                <c:lvl>
                  <c:pt idx="0">
                    <c:v>UNRESOLVED</c:v>
                  </c:pt>
                  <c:pt idx="1">
                    <c:v>REVISIONS</c:v>
                  </c:pt>
                  <c:pt idx="2">
                    <c:v>PENDING ACTIONS</c:v>
                  </c:pt>
                </c:lvl>
                <c:lvl>
                  <c:pt idx="0">
                    <c:v>ISSUES</c:v>
                  </c:pt>
                </c:lvl>
              </c:multiLvlStrCache>
            </c:multiLvlStrRef>
          </c:cat>
          <c:val>
            <c:numRef>
              <c:f>Sheet2!$F$21:$H$21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3F-43F4-920F-C39EA1028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1486415"/>
        <c:axId val="49085231"/>
      </c:barChart>
      <c:catAx>
        <c:axId val="203148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5231"/>
        <c:crosses val="autoZero"/>
        <c:auto val="1"/>
        <c:lblAlgn val="ctr"/>
        <c:lblOffset val="100"/>
        <c:noMultiLvlLbl val="0"/>
      </c:catAx>
      <c:valAx>
        <c:axId val="490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QUARTERLY REVENUE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layout>
        <c:manualLayout>
          <c:xMode val="edge"/>
          <c:yMode val="edge"/>
          <c:x val="7.4671653520376635E-2"/>
          <c:y val="2.5387873059302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2F0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5-4247-9907-A2D582942A76}"/>
              </c:ext>
            </c:extLst>
          </c:dPt>
          <c:dPt>
            <c:idx val="1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5-4247-9907-A2D582942A76}"/>
              </c:ext>
            </c:extLst>
          </c:dPt>
          <c:dPt>
            <c:idx val="2"/>
            <c:invertIfNegative val="0"/>
            <c:bubble3D val="0"/>
            <c:spPr>
              <a:solidFill>
                <a:srgbClr val="DAE3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5-4247-9907-A2D582942A76}"/>
              </c:ext>
            </c:extLst>
          </c:dPt>
          <c:dPt>
            <c:idx val="3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5-4247-9907-A2D582942A76}"/>
              </c:ext>
            </c:extLst>
          </c:dPt>
          <c:cat>
            <c:multiLvlStrRef>
              <c:f>Sheet2!$B$27:$E$28</c:f>
              <c:multiLvlStrCache>
                <c:ptCount val="4"/>
                <c:lvl>
                  <c:pt idx="0">
                    <c:v>QUARTER 1</c:v>
                  </c:pt>
                  <c:pt idx="1">
                    <c:v>QUARTER 2</c:v>
                  </c:pt>
                  <c:pt idx="2">
                    <c:v>QUARTER 3</c:v>
                  </c:pt>
                  <c:pt idx="3">
                    <c:v>QUARTER 4</c:v>
                  </c:pt>
                </c:lvl>
                <c:lvl>
                  <c:pt idx="0">
                    <c:v>QUARTERLY REVENUE TOTALS</c:v>
                  </c:pt>
                </c:lvl>
              </c:multiLvlStrCache>
            </c:multiLvlStrRef>
          </c:cat>
          <c:val>
            <c:numRef>
              <c:f>Sheet2!$B$29:$E$29</c:f>
              <c:numCache>
                <c:formatCode>"$"#,##0.00</c:formatCode>
                <c:ptCount val="4"/>
                <c:pt idx="0">
                  <c:v>87000</c:v>
                </c:pt>
                <c:pt idx="1">
                  <c:v>79700</c:v>
                </c:pt>
                <c:pt idx="2">
                  <c:v>69500</c:v>
                </c:pt>
                <c:pt idx="3">
                  <c:v>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B5-4247-9907-A2D582942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08079"/>
        <c:axId val="49058607"/>
      </c:barChart>
      <c:catAx>
        <c:axId val="9410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8607"/>
        <c:crosses val="autoZero"/>
        <c:auto val="1"/>
        <c:lblAlgn val="ctr"/>
        <c:lblOffset val="100"/>
        <c:noMultiLvlLbl val="0"/>
      </c:catAx>
      <c:valAx>
        <c:axId val="4905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PROJECTS/TASKS</a:t>
            </a:r>
          </a:p>
        </c:rich>
      </c:tx>
      <c:layout>
        <c:manualLayout>
          <c:xMode val="edge"/>
          <c:yMode val="edge"/>
          <c:x val="2.9624678204527917E-2"/>
          <c:y val="5.893911450245641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55483177064875"/>
          <c:y val="0.11840868103543493"/>
          <c:w val="0.39011709860175059"/>
          <c:h val="0.51542998172423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BF0A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56-407B-97F4-17CB3C1ECF7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56-407B-97F4-17CB3C1ECF72}"/>
              </c:ext>
            </c:extLst>
          </c:dPt>
          <c:dPt>
            <c:idx val="2"/>
            <c:bubble3D val="0"/>
            <c:spPr>
              <a:solidFill>
                <a:srgbClr val="00B2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56-407B-97F4-17CB3C1ECF72}"/>
              </c:ext>
            </c:extLst>
          </c:dPt>
          <c:cat>
            <c:multiLvlStrRef>
              <c:f>Sheet2!$B$15:$D$16</c:f>
              <c:multiLvlStrCache>
                <c:ptCount val="3"/>
                <c:lvl>
                  <c:pt idx="0">
                    <c:v>NOT STARTED</c:v>
                  </c:pt>
                  <c:pt idx="1">
                    <c:v>IN PROGRESS</c:v>
                  </c:pt>
                  <c:pt idx="2">
                    <c:v>COMPLETE</c:v>
                  </c:pt>
                </c:lvl>
                <c:lvl>
                  <c:pt idx="0">
                    <c:v>PROJECTS / TASKS</c:v>
                  </c:pt>
                </c:lvl>
              </c:multiLvlStrCache>
            </c:multiLvlStrRef>
          </c:cat>
          <c:val>
            <c:numRef>
              <c:f>Sheet2!$B$17:$D$17</c:f>
              <c:numCache>
                <c:formatCode>0</c:formatCode>
                <c:ptCount val="3"/>
                <c:pt idx="0">
                  <c:v>35</c:v>
                </c:pt>
                <c:pt idx="1">
                  <c:v>55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56-407B-97F4-17CB3C1E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21048488593101E-2"/>
          <c:y val="0.67509604291138803"/>
          <c:w val="0.9288057923711861"/>
          <c:h val="0.28954048838713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2F0D9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B-4AA6-AA39-2CFA7DF48112}"/>
              </c:ext>
            </c:extLst>
          </c:dPt>
          <c:dPt>
            <c:idx val="4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B-4AA6-AA39-2CFA7DF48112}"/>
              </c:ext>
            </c:extLst>
          </c:dPt>
          <c:dPt>
            <c:idx val="5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4B-4AA6-AA39-2CFA7DF48112}"/>
              </c:ext>
            </c:extLst>
          </c:dPt>
          <c:dPt>
            <c:idx val="6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4B-4AA6-AA39-2CFA7DF48112}"/>
              </c:ext>
            </c:extLst>
          </c:dPt>
          <c:dPt>
            <c:idx val="7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4B-4AA6-AA39-2CFA7DF48112}"/>
              </c:ext>
            </c:extLst>
          </c:dPt>
          <c:dPt>
            <c:idx val="8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4B-4AA6-AA39-2CFA7DF48112}"/>
              </c:ext>
            </c:extLst>
          </c:dPt>
          <c:dPt>
            <c:idx val="9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4B-4AA6-AA39-2CFA7DF48112}"/>
              </c:ext>
            </c:extLst>
          </c:dPt>
          <c:dPt>
            <c:idx val="10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4B-4AA6-AA39-2CFA7DF48112}"/>
              </c:ext>
            </c:extLst>
          </c:dPt>
          <c:dPt>
            <c:idx val="11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4B-4AA6-AA39-2CFA7DF48112}"/>
              </c:ext>
            </c:extLst>
          </c:dPt>
          <c:cat>
            <c:multiLvlStrRef>
              <c:f>Sheet2!$B$23:$M$24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MONTHLY REVENUE TOTALS</c:v>
                  </c:pt>
                </c:lvl>
              </c:multiLvlStrCache>
            </c:multiLvlStrRef>
          </c:cat>
          <c:val>
            <c:numRef>
              <c:f>Sheet2!$B$25:$M$25</c:f>
              <c:numCache>
                <c:formatCode>"$"#,##0.00</c:formatCode>
                <c:ptCount val="12"/>
                <c:pt idx="0">
                  <c:v>25000</c:v>
                </c:pt>
                <c:pt idx="1">
                  <c:v>32000</c:v>
                </c:pt>
                <c:pt idx="2">
                  <c:v>30000</c:v>
                </c:pt>
                <c:pt idx="3">
                  <c:v>21000</c:v>
                </c:pt>
                <c:pt idx="4">
                  <c:v>26500</c:v>
                </c:pt>
                <c:pt idx="5">
                  <c:v>32200</c:v>
                </c:pt>
                <c:pt idx="6">
                  <c:v>25000</c:v>
                </c:pt>
                <c:pt idx="7">
                  <c:v>23500</c:v>
                </c:pt>
                <c:pt idx="8">
                  <c:v>21000</c:v>
                </c:pt>
                <c:pt idx="9">
                  <c:v>25000</c:v>
                </c:pt>
                <c:pt idx="10">
                  <c:v>24200</c:v>
                </c:pt>
                <c:pt idx="11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04B-4AA6-AA39-2CFA7DF48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2735"/>
        <c:axId val="152174111"/>
      </c:barChart>
      <c:catAx>
        <c:axId val="1821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4111"/>
        <c:crosses val="autoZero"/>
        <c:auto val="1"/>
        <c:lblAlgn val="ctr"/>
        <c:lblOffset val="100"/>
        <c:noMultiLvlLbl val="0"/>
      </c:catAx>
      <c:valAx>
        <c:axId val="1521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10583</xdr:rowOff>
    </xdr:from>
    <xdr:to>
      <xdr:col>2</xdr:col>
      <xdr:colOff>1619250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122AF-0E4F-46D5-A63B-34C599829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31749</xdr:colOff>
      <xdr:row>6</xdr:row>
      <xdr:rowOff>179917</xdr:rowOff>
    </xdr:from>
    <xdr:to>
      <xdr:col>5</xdr:col>
      <xdr:colOff>910167</xdr:colOff>
      <xdr:row>8</xdr:row>
      <xdr:rowOff>1121833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FFB41-FAF8-4884-B514-FD0D6F84B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</xdr:row>
      <xdr:rowOff>1200149</xdr:rowOff>
    </xdr:from>
    <xdr:to>
      <xdr:col>5</xdr:col>
      <xdr:colOff>920749</xdr:colOff>
      <xdr:row>12</xdr:row>
      <xdr:rowOff>10582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3494F-36CD-4B52-8421-95F33A356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84666</xdr:colOff>
      <xdr:row>6</xdr:row>
      <xdr:rowOff>184149</xdr:rowOff>
    </xdr:from>
    <xdr:to>
      <xdr:col>10</xdr:col>
      <xdr:colOff>836082</xdr:colOff>
      <xdr:row>11</xdr:row>
      <xdr:rowOff>761999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6617E4-6086-434B-B483-9D1ED6C61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10582</xdr:colOff>
      <xdr:row>0</xdr:row>
      <xdr:rowOff>25401</xdr:rowOff>
    </xdr:from>
    <xdr:to>
      <xdr:col>7</xdr:col>
      <xdr:colOff>42332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2CC2EB-5F00-4B53-968E-DB81E4CA5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190501</xdr:colOff>
      <xdr:row>0</xdr:row>
      <xdr:rowOff>0</xdr:rowOff>
    </xdr:from>
    <xdr:to>
      <xdr:col>11</xdr:col>
      <xdr:colOff>10584</xdr:colOff>
      <xdr:row>5</xdr:row>
      <xdr:rowOff>476250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927905-0C65-4A25-BF95-0BB374A70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/ADVANCE%20EXCEL%20GAURAV%20JOSH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 (2)"/>
      <sheetName val="HOME LOAN"/>
      <sheetName val="CAR LOAN"/>
      <sheetName val="PERSONAL LOAN"/>
      <sheetName val="EDUCATION LOAN"/>
      <sheetName val="DATA.. "/>
      <sheetName val="CALCULATION  .."/>
      <sheetName val="DASHBOARD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ACTICE"/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Monthly Budget Summary"/>
      <sheetName val="Income"/>
      <sheetName val="Personnel Expenses"/>
      <sheetName val="Operating Expenses"/>
      <sheetName val="Sheet 16"/>
      <sheetName val="Sheet 17"/>
      <sheetName val="Sheet 18"/>
      <sheetName val="Sheet19"/>
      <sheetName val="Sheet 20"/>
      <sheetName val="Data..."/>
      <sheetName val="calcs"/>
      <sheetName val="Scroll Bar"/>
      <sheetName val="Check Box"/>
      <sheetName val="Optin Button"/>
      <sheetName val="Combo Box"/>
      <sheetName val="Data"/>
      <sheetName val="Calculation"/>
      <sheetName val="DASHBOARD "/>
      <sheetName val="Sheet 21"/>
      <sheetName val="Sheet 22"/>
      <sheetName val="Sheet 23"/>
      <sheetName val="Sheet 24"/>
      <sheetName val="Sheet 25"/>
      <sheetName val="Finance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D2">
            <v>2016</v>
          </cell>
        </row>
        <row r="3">
          <cell r="D3" t="str">
            <v>Biscuits</v>
          </cell>
        </row>
        <row r="4">
          <cell r="D4" t="str">
            <v>All Region</v>
          </cell>
        </row>
        <row r="19">
          <cell r="I19" t="b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C297-B9CA-4C13-B851-7352BC072CC8}">
  <dimension ref="B3:M29"/>
  <sheetViews>
    <sheetView showGridLines="0" tabSelected="1" zoomScale="90" zoomScaleNormal="90" workbookViewId="0">
      <selection activeCell="L9" sqref="L9"/>
    </sheetView>
  </sheetViews>
  <sheetFormatPr defaultRowHeight="15" x14ac:dyDescent="0.25"/>
  <cols>
    <col min="1" max="1" width="2.5703125" customWidth="1"/>
    <col min="2" max="2" width="20.85546875" customWidth="1"/>
    <col min="3" max="3" width="24.42578125" customWidth="1"/>
    <col min="4" max="4" width="20.42578125" bestFit="1" customWidth="1"/>
    <col min="5" max="5" width="12.85546875" customWidth="1"/>
    <col min="6" max="6" width="14.140625" customWidth="1"/>
    <col min="7" max="7" width="15.28515625" customWidth="1"/>
    <col min="8" max="8" width="19.140625" customWidth="1"/>
    <col min="9" max="9" width="12.7109375" bestFit="1" customWidth="1"/>
    <col min="10" max="10" width="13.140625" customWidth="1"/>
    <col min="11" max="11" width="12.7109375" bestFit="1" customWidth="1"/>
    <col min="12" max="12" width="13.85546875" customWidth="1"/>
    <col min="13" max="13" width="12.85546875" customWidth="1"/>
  </cols>
  <sheetData>
    <row r="3" spans="2:8" ht="26.25" x14ac:dyDescent="0.25">
      <c r="B3" s="45" t="s">
        <v>41</v>
      </c>
      <c r="C3" s="44"/>
      <c r="D3" s="44"/>
    </row>
    <row r="4" spans="2:8" ht="38.25" x14ac:dyDescent="0.25">
      <c r="B4" s="43" t="s">
        <v>40</v>
      </c>
      <c r="C4" s="42">
        <v>0.45</v>
      </c>
      <c r="D4" s="41" t="s">
        <v>39</v>
      </c>
    </row>
    <row r="5" spans="2:8" ht="38.25" x14ac:dyDescent="0.25">
      <c r="B5" s="40" t="s">
        <v>38</v>
      </c>
      <c r="C5" s="39">
        <v>0.3</v>
      </c>
      <c r="D5" s="38" t="s">
        <v>37</v>
      </c>
    </row>
    <row r="6" spans="2:8" ht="38.25" x14ac:dyDescent="0.25">
      <c r="B6" s="37" t="s">
        <v>36</v>
      </c>
      <c r="C6" s="36">
        <f>H17/F17</f>
        <v>0.26</v>
      </c>
      <c r="D6" s="35" t="s">
        <v>35</v>
      </c>
    </row>
    <row r="8" spans="2:8" ht="20.25" customHeight="1" x14ac:dyDescent="0.25"/>
    <row r="9" spans="2:8" ht="126.75" customHeight="1" x14ac:dyDescent="0.25"/>
    <row r="11" spans="2:8" ht="14.25" customHeight="1" x14ac:dyDescent="0.25"/>
    <row r="12" spans="2:8" ht="61.5" customHeight="1" x14ac:dyDescent="0.25">
      <c r="C12" s="34"/>
    </row>
    <row r="13" spans="2:8" ht="15" customHeight="1" x14ac:dyDescent="0.25"/>
    <row r="14" spans="2:8" ht="30.75" customHeight="1" x14ac:dyDescent="0.25">
      <c r="B14" s="33" t="s">
        <v>34</v>
      </c>
      <c r="C14" s="32"/>
    </row>
    <row r="15" spans="2:8" ht="18.75" thickBot="1" x14ac:dyDescent="0.3">
      <c r="B15" s="31" t="s">
        <v>33</v>
      </c>
      <c r="C15" s="22"/>
      <c r="D15" s="22"/>
      <c r="F15" s="30" t="s">
        <v>32</v>
      </c>
      <c r="G15" s="30"/>
      <c r="H15" s="30"/>
    </row>
    <row r="16" spans="2:8" x14ac:dyDescent="0.25">
      <c r="B16" s="29" t="s">
        <v>31</v>
      </c>
      <c r="C16" s="16" t="s">
        <v>30</v>
      </c>
      <c r="D16" s="28" t="s">
        <v>29</v>
      </c>
      <c r="F16" s="27" t="s">
        <v>28</v>
      </c>
      <c r="G16" s="26" t="s">
        <v>27</v>
      </c>
      <c r="H16" s="25" t="s">
        <v>26</v>
      </c>
    </row>
    <row r="17" spans="2:13" ht="16.5" customHeight="1" x14ac:dyDescent="0.25">
      <c r="B17" s="14">
        <v>35</v>
      </c>
      <c r="C17" s="14">
        <v>55</v>
      </c>
      <c r="D17" s="14">
        <v>62</v>
      </c>
      <c r="F17" s="24">
        <v>250000</v>
      </c>
      <c r="G17" s="24">
        <v>185000</v>
      </c>
      <c r="H17" s="24">
        <f>(F17-G17)</f>
        <v>65000</v>
      </c>
    </row>
    <row r="19" spans="2:13" ht="18" x14ac:dyDescent="0.3">
      <c r="B19" s="23" t="s">
        <v>25</v>
      </c>
      <c r="C19" s="22"/>
      <c r="D19" s="22"/>
      <c r="F19" s="23" t="s">
        <v>24</v>
      </c>
      <c r="G19" s="22"/>
      <c r="H19" s="21"/>
    </row>
    <row r="20" spans="2:13" ht="18.75" customHeight="1" x14ac:dyDescent="0.25">
      <c r="B20" s="20" t="s">
        <v>23</v>
      </c>
      <c r="C20" s="19" t="s">
        <v>22</v>
      </c>
      <c r="D20" s="18" t="s">
        <v>21</v>
      </c>
      <c r="F20" s="17" t="s">
        <v>20</v>
      </c>
      <c r="G20" s="16" t="s">
        <v>19</v>
      </c>
      <c r="H20" s="15" t="s">
        <v>18</v>
      </c>
    </row>
    <row r="21" spans="2:13" ht="17.25" x14ac:dyDescent="0.25">
      <c r="B21" s="14">
        <v>1</v>
      </c>
      <c r="C21" s="14">
        <v>2</v>
      </c>
      <c r="D21" s="14">
        <v>3</v>
      </c>
      <c r="F21" s="14">
        <v>1</v>
      </c>
      <c r="G21" s="14">
        <v>2</v>
      </c>
      <c r="H21" s="14">
        <v>3</v>
      </c>
    </row>
    <row r="23" spans="2:13" ht="18" x14ac:dyDescent="0.3">
      <c r="B23" s="9" t="s">
        <v>17</v>
      </c>
      <c r="C23" s="9"/>
      <c r="D23" s="8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25">
      <c r="B24" s="6" t="s">
        <v>16</v>
      </c>
      <c r="C24" s="6" t="s">
        <v>15</v>
      </c>
      <c r="D24" s="6" t="s">
        <v>14</v>
      </c>
      <c r="E24" s="13" t="s">
        <v>13</v>
      </c>
      <c r="F24" s="13" t="s">
        <v>12</v>
      </c>
      <c r="G24" s="13" t="s">
        <v>11</v>
      </c>
      <c r="H24" s="12" t="s">
        <v>10</v>
      </c>
      <c r="I24" s="12" t="s">
        <v>9</v>
      </c>
      <c r="J24" s="12" t="s">
        <v>8</v>
      </c>
      <c r="K24" s="3" t="s">
        <v>7</v>
      </c>
      <c r="L24" s="3" t="s">
        <v>6</v>
      </c>
      <c r="M24" s="3" t="s">
        <v>5</v>
      </c>
    </row>
    <row r="25" spans="2:13" ht="17.25" x14ac:dyDescent="0.25">
      <c r="B25" s="11">
        <v>25000</v>
      </c>
      <c r="C25" s="11">
        <v>32000</v>
      </c>
      <c r="D25" s="11">
        <v>30000</v>
      </c>
      <c r="E25" s="10">
        <v>21000</v>
      </c>
      <c r="F25" s="10">
        <v>26500</v>
      </c>
      <c r="G25" s="10">
        <v>32200</v>
      </c>
      <c r="H25" s="10">
        <v>25000</v>
      </c>
      <c r="I25" s="10">
        <v>23500</v>
      </c>
      <c r="J25" s="10">
        <v>21000</v>
      </c>
      <c r="K25" s="10">
        <v>25000</v>
      </c>
      <c r="L25" s="10">
        <v>24200</v>
      </c>
      <c r="M25" s="10">
        <v>23400</v>
      </c>
    </row>
    <row r="27" spans="2:13" ht="18" x14ac:dyDescent="0.3">
      <c r="B27" s="9" t="s">
        <v>4</v>
      </c>
      <c r="C27" s="9"/>
      <c r="D27" s="8"/>
      <c r="E27" s="7"/>
    </row>
    <row r="28" spans="2:13" x14ac:dyDescent="0.25">
      <c r="B28" s="6" t="s">
        <v>3</v>
      </c>
      <c r="C28" s="5" t="s">
        <v>2</v>
      </c>
      <c r="D28" s="4" t="s">
        <v>1</v>
      </c>
      <c r="E28" s="3" t="s">
        <v>0</v>
      </c>
    </row>
    <row r="29" spans="2:13" ht="17.25" x14ac:dyDescent="0.25">
      <c r="B29" s="2">
        <f>SUM(B25:D25)</f>
        <v>87000</v>
      </c>
      <c r="C29" s="2">
        <f>SUM(E25:G25)</f>
        <v>79700</v>
      </c>
      <c r="D29" s="2">
        <f>SUM(H25:J25)</f>
        <v>69500</v>
      </c>
      <c r="E29" s="1">
        <f>SUM(K25:M25)</f>
        <v>72600</v>
      </c>
    </row>
  </sheetData>
  <mergeCells count="2">
    <mergeCell ref="B27:C27"/>
    <mergeCell ref="B23:C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2026-03-05T16:23:43Z</dcterms:created>
  <dcterms:modified xsi:type="dcterms:W3CDTF">2026-03-05T16:24:00Z</dcterms:modified>
</cp:coreProperties>
</file>